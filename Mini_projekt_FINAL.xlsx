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 projects\ARKUSZ EXCEL - PLAN TRENINGOWY (TRENING SIŁOWY)\mini projekt\Advanced_Excel_Training_Programm\"/>
    </mc:Choice>
  </mc:AlternateContent>
  <xr:revisionPtr revIDLastSave="0" documentId="13_ncr:1_{6A16A7D4-77E2-47CE-A762-1C84B2522599}" xr6:coauthVersionLast="47" xr6:coauthVersionMax="47" xr10:uidLastSave="{00000000-0000-0000-0000-000000000000}"/>
  <workbookProtection workbookAlgorithmName="SHA-512" workbookHashValue="21yrnUYsV9z6RlDl8yuSqdZXiXeQBHaR9n5N5k5iOoUKtgQxQfeDhUXMxQWFFf6wC4dcIdp8mYTSs63ZvtEWfQ==" workbookSaltValue="h6gVviLFlsgiEWKf/SiOqg==" workbookSpinCount="100000" lockStructure="1"/>
  <bookViews>
    <workbookView xWindow="-108" yWindow="-108" windowWidth="23256" windowHeight="12456" xr2:uid="{97BD010C-89F1-407C-B9C1-79FA50A4F15A}"/>
  </bookViews>
  <sheets>
    <sheet name="DANE_UŻYTKOWNIKA" sheetId="2" r:id="rId1"/>
    <sheet name="SILNIK_ANALITYCZNY" sheetId="3" r:id="rId2"/>
    <sheet name="PLAN_TRENINGOWY" sheetId="4" r:id="rId3"/>
    <sheet name="PANEL_GŁÓWN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7" i="3"/>
  <c r="E7" i="3" s="1"/>
  <c r="D8" i="3"/>
  <c r="B22" i="3" s="1"/>
  <c r="C2" i="3"/>
  <c r="C3" i="3" s="1"/>
  <c r="B3" i="4" s="1"/>
  <c r="B4" i="4" s="1"/>
  <c r="C4" i="4" s="1"/>
  <c r="D10" i="3"/>
  <c r="E10" i="3" s="1"/>
  <c r="D9" i="3"/>
  <c r="E9" i="3" s="1"/>
  <c r="B13" i="3" l="1"/>
  <c r="B5" i="1" s="1"/>
  <c r="B14" i="4"/>
  <c r="C3" i="4"/>
  <c r="B16" i="3"/>
  <c r="E8" i="3"/>
  <c r="B5" i="4"/>
  <c r="C5" i="4" s="1"/>
  <c r="B2" i="1"/>
  <c r="B24" i="3"/>
  <c r="B23" i="3"/>
  <c r="B21" i="3"/>
  <c r="B3" i="1" l="1"/>
  <c r="B7" i="1" s="1"/>
  <c r="B12" i="3"/>
  <c r="C10" i="4" s="1"/>
  <c r="B6" i="1"/>
  <c r="B6" i="4"/>
  <c r="C6" i="4" l="1"/>
  <c r="B15" i="4" s="1"/>
  <c r="B16" i="4" s="1"/>
</calcChain>
</file>

<file path=xl/sharedStrings.xml><?xml version="1.0" encoding="utf-8"?>
<sst xmlns="http://schemas.openxmlformats.org/spreadsheetml/2006/main" count="44" uniqueCount="40">
  <si>
    <t>Status</t>
  </si>
  <si>
    <t>%</t>
  </si>
  <si>
    <t>Masa ciała (kg)</t>
  </si>
  <si>
    <t>1RM Przysiad</t>
  </si>
  <si>
    <t>1RM Martwy ciąg</t>
  </si>
  <si>
    <t>Cel treningowy</t>
  </si>
  <si>
    <t>DANE UŻYTKOWNIKA</t>
  </si>
  <si>
    <t>Siła</t>
  </si>
  <si>
    <t>1RM Wyciskanie na ławie</t>
  </si>
  <si>
    <t>Indeks siły względnej</t>
  </si>
  <si>
    <t>Poziom zaawansowania</t>
  </si>
  <si>
    <t>Grupa mięśniowa</t>
  </si>
  <si>
    <t>Lewa</t>
  </si>
  <si>
    <t>Prawa</t>
  </si>
  <si>
    <t>Dysproporcja</t>
  </si>
  <si>
    <t>Tylny łańcuch mięśniowy</t>
  </si>
  <si>
    <t>Górny grzbiet</t>
  </si>
  <si>
    <t>Mięsień uda</t>
  </si>
  <si>
    <t>Pośladki</t>
  </si>
  <si>
    <t>Mnożnik objętości</t>
  </si>
  <si>
    <t>Priorytet treningowy</t>
  </si>
  <si>
    <t>Wskaźnik ryzyka strukturalnego</t>
  </si>
  <si>
    <t>Balans</t>
  </si>
  <si>
    <t>Tydzień</t>
  </si>
  <si>
    <t>Ćwiczenie</t>
  </si>
  <si>
    <t>Przysiad</t>
  </si>
  <si>
    <t>Serie po korekcie</t>
  </si>
  <si>
    <t>Serie bazowe</t>
  </si>
  <si>
    <t>Powtórzenia</t>
  </si>
  <si>
    <t>Ćwiczenie korekcyjne</t>
  </si>
  <si>
    <t>Szacowany nowy 1RM</t>
  </si>
  <si>
    <t>Progres (%)</t>
  </si>
  <si>
    <t>Poziom</t>
  </si>
  <si>
    <t>Status strukturalny</t>
  </si>
  <si>
    <t>Dysproporcja strukturalna</t>
  </si>
  <si>
    <t>Ryzyko strukturalne</t>
  </si>
  <si>
    <t>Rekomendacja systemu</t>
  </si>
  <si>
    <t>Ciężar dla przysaidu w serii</t>
  </si>
  <si>
    <t>Grupy mięśniowe</t>
  </si>
  <si>
    <t>Biceps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</si>
</sst>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</cellStyleXfs>
  <cellXfs count="21">
    <xf numFmtId="0" fontId="0" fillId="0" borderId="0" xfId="0"/>
    <xf numFmtId="43" fontId="1" fillId="2" borderId="0" xfId="3" applyNumberFormat="1" applyAlignment="1">
      <alignment horizontal="center" vertical="center" wrapText="1"/>
    </xf>
    <xf numFmtId="43" fontId="1" fillId="2" borderId="0" xfId="3" applyNumberFormat="1"/>
    <xf numFmtId="0" fontId="1" fillId="2" borderId="0" xfId="3"/>
    <xf numFmtId="0" fontId="1" fillId="2" borderId="0" xfId="3" applyAlignment="1">
      <alignment vertical="center" wrapText="1"/>
    </xf>
    <xf numFmtId="0" fontId="2" fillId="2" borderId="1" xfId="1" applyFill="1"/>
    <xf numFmtId="0" fontId="2" fillId="2" borderId="1" xfId="1" applyFill="1" applyAlignment="1">
      <alignment wrapText="1"/>
    </xf>
    <xf numFmtId="43" fontId="2" fillId="2" borderId="1" xfId="1" applyNumberFormat="1" applyFill="1"/>
    <xf numFmtId="43" fontId="2" fillId="2" borderId="1" xfId="1" applyNumberFormat="1" applyFill="1" applyAlignment="1">
      <alignment vertical="center" wrapText="1"/>
    </xf>
    <xf numFmtId="0" fontId="3" fillId="2" borderId="2" xfId="2" applyFill="1" applyAlignment="1">
      <alignment wrapText="1"/>
    </xf>
    <xf numFmtId="0" fontId="3" fillId="2" borderId="2" xfId="2" applyFill="1"/>
    <xf numFmtId="1" fontId="3" fillId="2" borderId="2" xfId="2" applyNumberFormat="1" applyFill="1"/>
    <xf numFmtId="2" fontId="3" fillId="2" borderId="2" xfId="2" applyNumberFormat="1" applyFill="1"/>
    <xf numFmtId="43" fontId="3" fillId="2" borderId="2" xfId="2" applyNumberFormat="1" applyFill="1"/>
    <xf numFmtId="43" fontId="3" fillId="2" borderId="2" xfId="2" applyNumberFormat="1" applyFill="1" applyAlignment="1">
      <alignment vertical="center" wrapText="1"/>
    </xf>
    <xf numFmtId="9" fontId="3" fillId="2" borderId="2" xfId="2" applyNumberFormat="1" applyFill="1"/>
    <xf numFmtId="10" fontId="3" fillId="2" borderId="2" xfId="2" applyNumberFormat="1" applyFill="1"/>
    <xf numFmtId="0" fontId="3" fillId="2" borderId="2" xfId="2" applyFill="1" applyAlignment="1">
      <alignment vertical="center" wrapText="1"/>
    </xf>
    <xf numFmtId="0" fontId="3" fillId="2" borderId="2" xfId="2" applyFill="1" applyAlignment="1">
      <alignment horizontal="center"/>
    </xf>
    <xf numFmtId="0" fontId="3" fillId="2" borderId="2" xfId="2" applyFill="1" applyAlignment="1">
      <alignment horizontal="center" vertical="center" wrapText="1"/>
    </xf>
    <xf numFmtId="2" fontId="3" fillId="2" borderId="2" xfId="2" applyNumberFormat="1" applyFill="1" applyAlignment="1">
      <alignment horizontal="center" vertical="center"/>
    </xf>
  </cellXfs>
  <cellStyles count="4">
    <cellStyle name="20% — akcent 1" xfId="3" builtinId="30"/>
    <cellStyle name="Nagłówek 1" xfId="1" builtinId="16"/>
    <cellStyle name="Nagłówek 2" xfId="2" builtinId="17"/>
    <cellStyle name="Normalny" xfId="0" builtinId="0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3333FF"/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9394225721784778"/>
          <c:y val="0.20162802566345878"/>
          <c:w val="0.43860192475940513"/>
          <c:h val="0.73100320793234186"/>
        </c:manualLayout>
      </c:layout>
      <c:radarChart>
        <c:radarStyle val="filled"/>
        <c:varyColors val="0"/>
        <c:ser>
          <c:idx val="0"/>
          <c:order val="0"/>
          <c:tx>
            <c:strRef>
              <c:f>SILNIK_ANALITYCZNY!$B$20</c:f>
              <c:strCache>
                <c:ptCount val="1"/>
                <c:pt idx="0">
                  <c:v>Balans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2032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</c:spPr>
          <c:cat>
            <c:strRef>
              <c:f>SILNIK_ANALITYCZNY!$A$21:$A$24</c:f>
              <c:strCache>
                <c:ptCount val="4"/>
                <c:pt idx="0">
                  <c:v>Tylny łańcuch mięśniowy</c:v>
                </c:pt>
                <c:pt idx="1">
                  <c:v>Górny grzbiet</c:v>
                </c:pt>
                <c:pt idx="2">
                  <c:v>Mięsień uda</c:v>
                </c:pt>
                <c:pt idx="3">
                  <c:v>Pośladki</c:v>
                </c:pt>
              </c:strCache>
            </c:strRef>
          </c:cat>
          <c:val>
            <c:numRef>
              <c:f>SILNIK_ANALITYCZNY!$B$21:$B$24</c:f>
              <c:numCache>
                <c:formatCode>General</c:formatCode>
                <c:ptCount val="4"/>
                <c:pt idx="0" formatCode="0.00">
                  <c:v>2.4390243902439025E-2</c:v>
                </c:pt>
                <c:pt idx="1">
                  <c:v>2.7777777777777776E-2</c:v>
                </c:pt>
                <c:pt idx="2">
                  <c:v>2.4390243902439025E-2</c:v>
                </c:pt>
                <c:pt idx="3">
                  <c:v>5.1546391752577317E-2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C-4FD9-9873-E81DFB107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224736"/>
        <c:axId val="1532222816"/>
      </c:radarChart>
      <c:catAx>
        <c:axId val="15322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2222816"/>
        <c:crosses val="autoZero"/>
        <c:auto val="1"/>
        <c:lblAlgn val="ctr"/>
        <c:lblOffset val="100"/>
        <c:noMultiLvlLbl val="0"/>
      </c:catAx>
      <c:valAx>
        <c:axId val="1532222816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3222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2427001312335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5435744750656164"/>
          <c:y val="0.12603750252372301"/>
          <c:w val="0.46928723753280838"/>
          <c:h val="0.72198036543508981"/>
        </c:manualLayout>
      </c:layout>
      <c:radarChart>
        <c:radarStyle val="filled"/>
        <c:varyColors val="0"/>
        <c:ser>
          <c:idx val="0"/>
          <c:order val="0"/>
          <c:tx>
            <c:strRef>
              <c:f>SILNIK_ANALITYCZNY!$B$20</c:f>
              <c:strCache>
                <c:ptCount val="1"/>
                <c:pt idx="0">
                  <c:v>Balans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SILNIK_ANALITYCZNY!$A$21:$A$24</c:f>
              <c:strCache>
                <c:ptCount val="4"/>
                <c:pt idx="0">
                  <c:v>Tylny łańcuch mięśniowy</c:v>
                </c:pt>
                <c:pt idx="1">
                  <c:v>Górny grzbiet</c:v>
                </c:pt>
                <c:pt idx="2">
                  <c:v>Mięsień uda</c:v>
                </c:pt>
                <c:pt idx="3">
                  <c:v>Pośladki</c:v>
                </c:pt>
              </c:strCache>
            </c:strRef>
          </c:cat>
          <c:val>
            <c:numRef>
              <c:f>SILNIK_ANALITYCZNY!$B$21:$B$24</c:f>
              <c:numCache>
                <c:formatCode>General</c:formatCode>
                <c:ptCount val="4"/>
                <c:pt idx="0" formatCode="0.00">
                  <c:v>2.4390243902439025E-2</c:v>
                </c:pt>
                <c:pt idx="1">
                  <c:v>2.7777777777777776E-2</c:v>
                </c:pt>
                <c:pt idx="2">
                  <c:v>2.4390243902439025E-2</c:v>
                </c:pt>
                <c:pt idx="3">
                  <c:v>5.1546391752577317E-2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6-40CA-8D60-AF4CBF1B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224736"/>
        <c:axId val="1532222816"/>
      </c:radarChart>
      <c:catAx>
        <c:axId val="15322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2222816"/>
        <c:crosses val="autoZero"/>
        <c:auto val="1"/>
        <c:lblAlgn val="ctr"/>
        <c:lblOffset val="100"/>
        <c:noMultiLvlLbl val="0"/>
      </c:catAx>
      <c:valAx>
        <c:axId val="1532222816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bg2">
                  <a:lumMod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3222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</xdr:colOff>
      <xdr:row>7</xdr:row>
      <xdr:rowOff>19049</xdr:rowOff>
    </xdr:from>
    <xdr:to>
      <xdr:col>15</xdr:col>
      <xdr:colOff>152399</xdr:colOff>
      <xdr:row>26</xdr:row>
      <xdr:rowOff>761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F7A6633-066F-6DC5-B19F-64F610568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91440</xdr:rowOff>
    </xdr:from>
    <xdr:to>
      <xdr:col>12</xdr:col>
      <xdr:colOff>76200</xdr:colOff>
      <xdr:row>22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D3B2FA9-CD49-44AC-A5B2-4E8D0C59C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AA9902-727F-47C9-A487-293FD4598C56}">
  <we:reference id="wa200005271" version="2.6.1.0" store="pl-PL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A637-C0D4-403F-8B72-574132FCAC38}">
  <dimension ref="A1:B8"/>
  <sheetViews>
    <sheetView tabSelected="1" workbookViewId="0">
      <selection activeCell="E6" sqref="E6"/>
    </sheetView>
  </sheetViews>
  <sheetFormatPr defaultRowHeight="14.4" x14ac:dyDescent="0.3"/>
  <cols>
    <col min="1" max="1" width="27.5546875" style="2" bestFit="1" customWidth="1"/>
    <col min="2" max="2" width="13.6640625" style="2" bestFit="1" customWidth="1"/>
    <col min="3" max="3" width="15.77734375" style="2" customWidth="1"/>
    <col min="4" max="16384" width="8.88671875" style="2"/>
  </cols>
  <sheetData>
    <row r="1" spans="1:2" x14ac:dyDescent="0.3">
      <c r="A1" s="1"/>
      <c r="B1" s="1"/>
    </row>
    <row r="2" spans="1:2" ht="20.399999999999999" thickBot="1" x14ac:dyDescent="0.45">
      <c r="A2" s="7" t="s">
        <v>6</v>
      </c>
      <c r="B2" s="8"/>
    </row>
    <row r="3" spans="1:2" ht="18.600000000000001" thickTop="1" thickBot="1" x14ac:dyDescent="0.4">
      <c r="A3" s="13" t="s">
        <v>2</v>
      </c>
      <c r="B3" s="14">
        <v>80</v>
      </c>
    </row>
    <row r="4" spans="1:2" ht="18.600000000000001" thickTop="1" thickBot="1" x14ac:dyDescent="0.35">
      <c r="A4" s="14" t="s">
        <v>3</v>
      </c>
      <c r="B4" s="14">
        <v>100</v>
      </c>
    </row>
    <row r="5" spans="1:2" ht="18.600000000000001" thickTop="1" thickBot="1" x14ac:dyDescent="0.35">
      <c r="A5" s="14" t="s">
        <v>8</v>
      </c>
      <c r="B5" s="14">
        <v>100</v>
      </c>
    </row>
    <row r="6" spans="1:2" ht="18.600000000000001" thickTop="1" thickBot="1" x14ac:dyDescent="0.35">
      <c r="A6" s="14" t="s">
        <v>4</v>
      </c>
      <c r="B6" s="14">
        <v>100</v>
      </c>
    </row>
    <row r="7" spans="1:2" ht="18.600000000000001" thickTop="1" thickBot="1" x14ac:dyDescent="0.4">
      <c r="A7" s="14" t="s">
        <v>5</v>
      </c>
      <c r="B7" s="13" t="s">
        <v>7</v>
      </c>
    </row>
    <row r="8" spans="1:2" ht="15" thickTop="1" x14ac:dyDescent="0.3"/>
  </sheetData>
  <sheetProtection algorithmName="SHA-512" hashValue="NTxorZxm9gVEWKbjA3uoNR3U+aPhRVlz8TPPbCt7R0JdBL5mUo+yNvXJ+5rSqvzX5U6QlFbgFZDkYu0H+NCvmw==" saltValue="8VEOplCItwJg/Couh0fVBA==" spinCount="100000" sheet="1" objects="1" scenarios="1"/>
  <dataValidations count="1">
    <dataValidation type="list" allowBlank="1" showInputMessage="1" showErrorMessage="1" sqref="B7" xr:uid="{B24EABEA-2A16-4695-A31B-C9C77E89F8FE}">
      <formula1>"Siła,Hipertrofia,Mix"</formula1>
    </dataValidation>
  </dataValidation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E3AD-53BF-43AD-8566-8CC47F5734C7}">
  <dimension ref="A2:E25"/>
  <sheetViews>
    <sheetView workbookViewId="0">
      <selection activeCell="B9" sqref="B9:C9"/>
    </sheetView>
  </sheetViews>
  <sheetFormatPr defaultRowHeight="14.4" x14ac:dyDescent="0.3"/>
  <cols>
    <col min="1" max="1" width="27" style="3" bestFit="1" customWidth="1"/>
    <col min="2" max="2" width="14.5546875" style="3" bestFit="1" customWidth="1"/>
    <col min="3" max="3" width="12.21875" style="3" bestFit="1" customWidth="1"/>
    <col min="4" max="4" width="16.44140625" style="3" bestFit="1" customWidth="1"/>
    <col min="5" max="5" width="8.44140625" style="3" bestFit="1" customWidth="1"/>
    <col min="6" max="16384" width="8.88671875" style="3"/>
  </cols>
  <sheetData>
    <row r="2" spans="1:5" ht="18" thickBot="1" x14ac:dyDescent="0.4">
      <c r="A2" s="10" t="s">
        <v>9</v>
      </c>
      <c r="B2" s="10"/>
      <c r="C2" s="20">
        <f>((DANE_UŻYTKOWNIKA!B4+DANE_UŻYTKOWNIKA!B5+DANE_UŻYTKOWNIKA!B6)/3)/DANE_UŻYTKOWNIKA!B3</f>
        <v>1.25</v>
      </c>
      <c r="D2" s="20"/>
    </row>
    <row r="3" spans="1:5" ht="36" customHeight="1" thickTop="1" thickBot="1" x14ac:dyDescent="0.4">
      <c r="A3" s="17" t="s">
        <v>10</v>
      </c>
      <c r="B3" s="10"/>
      <c r="C3" s="19" t="str">
        <f>IF(C2&lt;1.2,"Początkujący",IF(C2&lt;1.8,"Średnio zaawansowany","Zaawansowany"))</f>
        <v>Średnio zaawansowany</v>
      </c>
      <c r="D3" s="19"/>
    </row>
    <row r="4" spans="1:5" ht="15" thickTop="1" x14ac:dyDescent="0.3">
      <c r="A4" s="4"/>
    </row>
    <row r="6" spans="1:5" ht="20.399999999999999" thickBot="1" x14ac:dyDescent="0.45">
      <c r="A6" s="5" t="s">
        <v>11</v>
      </c>
      <c r="B6" s="5" t="s">
        <v>12</v>
      </c>
      <c r="C6" s="5" t="s">
        <v>13</v>
      </c>
      <c r="D6" s="5" t="s">
        <v>14</v>
      </c>
      <c r="E6" s="5" t="s">
        <v>0</v>
      </c>
    </row>
    <row r="7" spans="1:5" ht="18.600000000000001" thickTop="1" thickBot="1" x14ac:dyDescent="0.4">
      <c r="A7" s="10" t="s">
        <v>15</v>
      </c>
      <c r="B7" s="11">
        <v>82</v>
      </c>
      <c r="C7" s="11">
        <v>80</v>
      </c>
      <c r="D7" s="12">
        <f>ABS(B7-C7)/MAX(B7,C7)</f>
        <v>2.4390243902439025E-2</v>
      </c>
      <c r="E7" s="10" t="str">
        <f>IF(D7&gt;0.2,"KRYTYCZNY",IF(D7&gt;0.1,"ŚREDNIA","OK"))</f>
        <v>OK</v>
      </c>
    </row>
    <row r="8" spans="1:5" ht="18.600000000000001" thickTop="1" thickBot="1" x14ac:dyDescent="0.4">
      <c r="A8" s="10" t="s">
        <v>39</v>
      </c>
      <c r="B8" s="10">
        <v>70</v>
      </c>
      <c r="C8" s="10">
        <v>72</v>
      </c>
      <c r="D8" s="12">
        <f>ABS(B8-C8)/MAX(B8,C8)</f>
        <v>2.7777777777777776E-2</v>
      </c>
      <c r="E8" s="10" t="str">
        <f t="shared" ref="E8:E10" si="0">IF(D8&gt;0.2,"KRYTYCZNY",IF(D8&gt;0.1,"ŚREDNIA","OK"))</f>
        <v>OK</v>
      </c>
    </row>
    <row r="9" spans="1:5" ht="18.600000000000001" thickTop="1" thickBot="1" x14ac:dyDescent="0.4">
      <c r="A9" s="10" t="s">
        <v>17</v>
      </c>
      <c r="B9" s="10">
        <v>41</v>
      </c>
      <c r="C9" s="10">
        <v>40</v>
      </c>
      <c r="D9" s="12">
        <f>ABS(B9-C9)/MAX(B9,C9)</f>
        <v>2.4390243902439025E-2</v>
      </c>
      <c r="E9" s="10" t="str">
        <f t="shared" si="0"/>
        <v>OK</v>
      </c>
    </row>
    <row r="10" spans="1:5" ht="18.600000000000001" thickTop="1" thickBot="1" x14ac:dyDescent="0.4">
      <c r="A10" s="9" t="s">
        <v>18</v>
      </c>
      <c r="B10" s="10">
        <v>92</v>
      </c>
      <c r="C10" s="10">
        <v>97</v>
      </c>
      <c r="D10" s="12">
        <f>ABS(B10-C10)/MAX(B10,C10)</f>
        <v>5.1546391752577317E-2</v>
      </c>
      <c r="E10" s="10" t="str">
        <f t="shared" si="0"/>
        <v>OK</v>
      </c>
    </row>
    <row r="11" spans="1:5" ht="15" thickTop="1" x14ac:dyDescent="0.3"/>
    <row r="12" spans="1:5" ht="18" thickBot="1" x14ac:dyDescent="0.4">
      <c r="A12" s="10" t="s">
        <v>19</v>
      </c>
      <c r="B12" s="12">
        <f>IF(COUNTIF(E7:E10,"KRYTYCZNY")&gt;0,1.2,IF(COUNTIF(E7:E10,"ŚREDNIA")&gt;0,1.1,1))</f>
        <v>1</v>
      </c>
      <c r="C12" s="10"/>
    </row>
    <row r="13" spans="1:5" ht="18.600000000000001" thickTop="1" thickBot="1" x14ac:dyDescent="0.4">
      <c r="A13" s="10" t="s">
        <v>20</v>
      </c>
      <c r="B13" s="18" t="str">
        <f>IF(COUNTIF(E7:E10,"KRYTYCZNY")&gt;0,"WYSOKI PRIORYTET",
 IF(COUNTIF(E7:E10,"ŚREDNIA")&gt;0,"UMIARKOWANY PRIORYTET",
 IF(C3="Początkujący","Budowanie bazy siłowej","Standardowa progresja")))</f>
        <v>Standardowa progresja</v>
      </c>
      <c r="C13" s="18"/>
    </row>
    <row r="14" spans="1:5" ht="15" thickTop="1" x14ac:dyDescent="0.3"/>
    <row r="16" spans="1:5" ht="35.4" thickBot="1" x14ac:dyDescent="0.4">
      <c r="A16" s="9" t="s">
        <v>21</v>
      </c>
      <c r="B16" s="10">
        <f>ROUND(AVERAGE(D7:D10)*100,0)</f>
        <v>3</v>
      </c>
    </row>
    <row r="17" spans="1:2" ht="15" thickTop="1" x14ac:dyDescent="0.3"/>
    <row r="20" spans="1:2" ht="20.399999999999999" thickBot="1" x14ac:dyDescent="0.45">
      <c r="A20" s="5" t="s">
        <v>38</v>
      </c>
      <c r="B20" s="5" t="s">
        <v>22</v>
      </c>
    </row>
    <row r="21" spans="1:2" ht="18.600000000000001" thickTop="1" thickBot="1" x14ac:dyDescent="0.4">
      <c r="A21" s="10" t="s">
        <v>15</v>
      </c>
      <c r="B21" s="12">
        <f>D7</f>
        <v>2.4390243902439025E-2</v>
      </c>
    </row>
    <row r="22" spans="1:2" ht="18.600000000000001" thickTop="1" thickBot="1" x14ac:dyDescent="0.4">
      <c r="A22" s="10" t="s">
        <v>16</v>
      </c>
      <c r="B22" s="10">
        <f>D8</f>
        <v>2.7777777777777776E-2</v>
      </c>
    </row>
    <row r="23" spans="1:2" ht="18.600000000000001" thickTop="1" thickBot="1" x14ac:dyDescent="0.4">
      <c r="A23" s="10" t="s">
        <v>17</v>
      </c>
      <c r="B23" s="10">
        <f>D9</f>
        <v>2.4390243902439025E-2</v>
      </c>
    </row>
    <row r="24" spans="1:2" ht="18.600000000000001" thickTop="1" thickBot="1" x14ac:dyDescent="0.4">
      <c r="A24" s="9" t="s">
        <v>18</v>
      </c>
      <c r="B24" s="10">
        <f>D10</f>
        <v>5.1546391752577317E-2</v>
      </c>
    </row>
    <row r="25" spans="1:2" ht="15" thickTop="1" x14ac:dyDescent="0.3"/>
  </sheetData>
  <sheetProtection algorithmName="SHA-512" hashValue="bUL4maaRRrnjc2uYjVdqZY4e1nGxTQuZtiIuCrbavsjscYhryMpP0y/1C2ScyWo/YXfoqBA990pkt6YHhPfOzw==" saltValue="jwziiaMr3vZCOkxs3Lk/pg==" spinCount="100000" sheet="1" objects="1" scenarios="1"/>
  <mergeCells count="3">
    <mergeCell ref="B13:C13"/>
    <mergeCell ref="C3:D3"/>
    <mergeCell ref="C2:D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2AC8-FA2C-4094-9CB9-2966C1413563}">
  <dimension ref="A2:C17"/>
  <sheetViews>
    <sheetView workbookViewId="0">
      <selection activeCell="B7" sqref="B7"/>
    </sheetView>
  </sheetViews>
  <sheetFormatPr defaultRowHeight="14.4" x14ac:dyDescent="0.3"/>
  <cols>
    <col min="1" max="1" width="14.44140625" style="3" bestFit="1" customWidth="1"/>
    <col min="2" max="2" width="10.6640625" style="3" bestFit="1" customWidth="1"/>
    <col min="3" max="3" width="21.21875" style="3" bestFit="1" customWidth="1"/>
    <col min="4" max="16384" width="8.88671875" style="3"/>
  </cols>
  <sheetData>
    <row r="2" spans="1:3" ht="40.200000000000003" thickBot="1" x14ac:dyDescent="0.45">
      <c r="A2" s="5" t="s">
        <v>23</v>
      </c>
      <c r="B2" s="5" t="s">
        <v>1</v>
      </c>
      <c r="C2" s="6" t="s">
        <v>37</v>
      </c>
    </row>
    <row r="3" spans="1:3" ht="18.600000000000001" thickTop="1" thickBot="1" x14ac:dyDescent="0.4">
      <c r="A3" s="10">
        <v>1</v>
      </c>
      <c r="B3" s="12">
        <f>IF(SILNIK_ANALITYCZNY!C3="Początkujący",0.65,IF(SILNIK_ANALITYCZNY!C3="Średnio zaawansowany",0.7,0.75))</f>
        <v>0.7</v>
      </c>
      <c r="C3" s="10">
        <f>MROUND(DANE_UŻYTKOWNIKA!B4*B3,2.5)</f>
        <v>70</v>
      </c>
    </row>
    <row r="4" spans="1:3" ht="18.600000000000001" thickTop="1" thickBot="1" x14ac:dyDescent="0.4">
      <c r="A4" s="10">
        <v>2</v>
      </c>
      <c r="B4" s="12">
        <f>B3+0.05</f>
        <v>0.75</v>
      </c>
      <c r="C4" s="10">
        <f>MROUND(DANE_UŻYTKOWNIKA!B4*B4,2.5)</f>
        <v>75</v>
      </c>
    </row>
    <row r="5" spans="1:3" ht="18.600000000000001" thickTop="1" thickBot="1" x14ac:dyDescent="0.4">
      <c r="A5" s="10">
        <v>3</v>
      </c>
      <c r="B5" s="12">
        <f t="shared" ref="B5:B6" si="0">B4+0.05</f>
        <v>0.8</v>
      </c>
      <c r="C5" s="10">
        <f>MROUND(DANE_UŻYTKOWNIKA!B4*B5,2.5)</f>
        <v>80</v>
      </c>
    </row>
    <row r="6" spans="1:3" ht="18.600000000000001" thickTop="1" thickBot="1" x14ac:dyDescent="0.4">
      <c r="A6" s="10">
        <v>4</v>
      </c>
      <c r="B6" s="12">
        <f t="shared" si="0"/>
        <v>0.85000000000000009</v>
      </c>
      <c r="C6" s="10">
        <f>MROUND(DANE_UŻYTKOWNIKA!B4*B6,2.5)</f>
        <v>85</v>
      </c>
    </row>
    <row r="7" spans="1:3" ht="15" thickTop="1" x14ac:dyDescent="0.3"/>
    <row r="9" spans="1:3" ht="20.399999999999999" thickBot="1" x14ac:dyDescent="0.45">
      <c r="A9" s="5" t="s">
        <v>24</v>
      </c>
      <c r="B9" s="5" t="s">
        <v>25</v>
      </c>
      <c r="C9" s="5" t="s">
        <v>26</v>
      </c>
    </row>
    <row r="10" spans="1:3" ht="18.600000000000001" thickTop="1" thickBot="1" x14ac:dyDescent="0.4">
      <c r="A10" s="10" t="s">
        <v>27</v>
      </c>
      <c r="B10" s="10">
        <v>4</v>
      </c>
      <c r="C10" s="10">
        <f>ROUND(B10 *SILNIK_ANALITYCZNY!B12 *IF(DANE_UŻYTKOWNIKA!B7="Hipertrofia",1.2,IF(DANE_UŻYTKOWNIKA!B7="Siła",0.9,1)),0)</f>
        <v>4</v>
      </c>
    </row>
    <row r="11" spans="1:3" ht="18.600000000000001" thickTop="1" thickBot="1" x14ac:dyDescent="0.4">
      <c r="A11" s="10" t="s">
        <v>28</v>
      </c>
      <c r="B11" s="10">
        <v>20</v>
      </c>
      <c r="C11" s="10"/>
    </row>
    <row r="12" spans="1:3" ht="15" thickTop="1" x14ac:dyDescent="0.3"/>
    <row r="14" spans="1:3" ht="40.200000000000003" thickBot="1" x14ac:dyDescent="0.45">
      <c r="A14" s="6" t="s">
        <v>29</v>
      </c>
      <c r="B14" s="6" t="str">
        <f>IF(SILNIK_ANALITYCZNY!E7="KRYTYCZNY","Zalecane","Nie wymaga")</f>
        <v>Nie wymaga</v>
      </c>
    </row>
    <row r="15" spans="1:3" ht="36" thickTop="1" thickBot="1" x14ac:dyDescent="0.4">
      <c r="A15" s="9" t="s">
        <v>30</v>
      </c>
      <c r="B15" s="10">
        <f>MROUND(C6*(1+B11/30),2.5)</f>
        <v>142.5</v>
      </c>
    </row>
    <row r="16" spans="1:3" ht="18.600000000000001" thickTop="1" thickBot="1" x14ac:dyDescent="0.4">
      <c r="A16" s="10" t="s">
        <v>31</v>
      </c>
      <c r="B16" s="15">
        <f>(B15-DANE_UŻYTKOWNIKA!B4)/DANE_UŻYTKOWNIKA!B4</f>
        <v>0.42499999999999999</v>
      </c>
    </row>
    <row r="17" ht="15" thickTop="1" x14ac:dyDescent="0.3"/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01D8-4F10-40F3-80C5-768803204D2B}">
  <dimension ref="A2:B8"/>
  <sheetViews>
    <sheetView workbookViewId="0">
      <selection activeCell="B4" sqref="B4"/>
    </sheetView>
  </sheetViews>
  <sheetFormatPr defaultRowHeight="14.4" x14ac:dyDescent="0.3"/>
  <cols>
    <col min="1" max="1" width="28" style="3" bestFit="1" customWidth="1"/>
    <col min="2" max="2" width="29" style="3" bestFit="1" customWidth="1"/>
    <col min="3" max="16384" width="8.88671875" style="3"/>
  </cols>
  <sheetData>
    <row r="2" spans="1:2" ht="18" thickBot="1" x14ac:dyDescent="0.4">
      <c r="A2" s="10" t="s">
        <v>32</v>
      </c>
      <c r="B2" s="10" t="str">
        <f>SILNIK_ANALITYCZNY!C3</f>
        <v>Średnio zaawansowany</v>
      </c>
    </row>
    <row r="3" spans="1:2" ht="18.600000000000001" thickTop="1" thickBot="1" x14ac:dyDescent="0.4">
      <c r="A3" s="10" t="s">
        <v>33</v>
      </c>
      <c r="B3" s="10" t="str">
        <f>IF(COUNTIF(SILNIK_ANALITYCZNY!E7:E10,"KRYTYCZNY")&gt;0,"KRYTYCZNY",IF(COUNTIF(SILNIK_ANALITYCZNY!E7:E10,"ŚREDNIA")&gt;0,"ŚREDNIA","OK"))</f>
        <v>OK</v>
      </c>
    </row>
    <row r="4" spans="1:2" ht="18.600000000000001" thickTop="1" thickBot="1" x14ac:dyDescent="0.4">
      <c r="A4" s="10" t="s">
        <v>34</v>
      </c>
      <c r="B4" s="16">
        <f>MAX(SILNIK_ANALITYCZNY!D7:D10)</f>
        <v>5.1546391752577317E-2</v>
      </c>
    </row>
    <row r="5" spans="1:2" ht="18.600000000000001" thickTop="1" thickBot="1" x14ac:dyDescent="0.4">
      <c r="A5" s="10" t="s">
        <v>20</v>
      </c>
      <c r="B5" s="10" t="str">
        <f>SILNIK_ANALITYCZNY!B13</f>
        <v>Standardowa progresja</v>
      </c>
    </row>
    <row r="6" spans="1:2" ht="18.600000000000001" thickTop="1" thickBot="1" x14ac:dyDescent="0.4">
      <c r="A6" s="10" t="s">
        <v>35</v>
      </c>
      <c r="B6" s="11">
        <f>SILNIK_ANALITYCZNY!B16</f>
        <v>3</v>
      </c>
    </row>
    <row r="7" spans="1:2" ht="36" thickTop="1" thickBot="1" x14ac:dyDescent="0.4">
      <c r="A7" s="9" t="s">
        <v>36</v>
      </c>
      <c r="B7" s="9" t="str">
        <f>IF(B3="KRYTYCZNY",
"⚠ Wysokie ryzyko strukturalne – ograniczyć intensywność i wdrożyć korekcję",
IF(B3="ŚREDNIA",
"Zalecana modyfikacja objętości i monitorowanie asymetrii",
IF(DANE_UŻYTKOWNIKA!B7="Hipertrofia",
"Plan objętościowy z kontrolą techniki",
"Plan siłowy ze standardową progresją")))</f>
        <v>Plan siłowy ze standardową progresją</v>
      </c>
    </row>
    <row r="8" spans="1:2" ht="15" thickTop="1" x14ac:dyDescent="0.3"/>
  </sheetData>
  <sheetProtection sheet="1" objects="1" scenarios="1"/>
  <conditionalFormatting sqref="B3">
    <cfRule type="containsText" dxfId="2" priority="5" operator="containsText" text="OK">
      <formula>NOT(ISERROR(SEARCH("OK",B3)))</formula>
    </cfRule>
    <cfRule type="containsText" dxfId="1" priority="6" operator="containsText" text="OSTRZEŻENIE">
      <formula>NOT(ISERROR(SEARCH("OSTRZEŻENIE",B3)))</formula>
    </cfRule>
    <cfRule type="containsText" dxfId="0" priority="7" operator="containsText" text="KRYTYCZNY">
      <formula>NOT(ISERROR(SEARCH("KRYTYCZNY",B3)))</formula>
    </cfRule>
  </conditionalFormatting>
  <conditionalFormatting sqref="B6">
    <cfRule type="dataBar" priority="2">
      <dataBar>
        <cfvo type="num" val="0"/>
        <cfvo type="num" val="20"/>
        <color rgb="FFFFC000"/>
      </dataBar>
      <extLst>
        <ext xmlns:x14="http://schemas.microsoft.com/office/spreadsheetml/2009/9/main" uri="{B025F937-C7B1-47D3-B67F-A62EFF666E3E}">
          <x14:id>{C359AB06-8109-46D0-8CF8-9D2AA6D58C05}</x14:id>
        </ext>
      </extLst>
    </cfRule>
  </conditionalFormatting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9AB06-8109-46D0-8CF8-9D2AA6D58C05}">
            <x14:dataBar minLength="0" maxLength="100" border="1" direction="leftToRight" negativeBarBorderColorSameAsPositive="0">
              <x14:cfvo type="num">
                <xm:f>0</xm:f>
              </x14:cfvo>
              <x14:cfvo type="num">
                <xm:f>20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DANE_UŻYTKOWNIKA</vt:lpstr>
      <vt:lpstr>SILNIK_ANALITYCZNY</vt:lpstr>
      <vt:lpstr>PLAN_TRENINGOWY</vt:lpstr>
      <vt:lpstr>PANEL_GŁÓWNY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Majka</dc:creator>
  <cp:lastModifiedBy>Bartosz Majka</cp:lastModifiedBy>
  <cp:lastPrinted>2026-02-19T23:49:48Z</cp:lastPrinted>
  <dcterms:created xsi:type="dcterms:W3CDTF">2026-02-17T20:35:22Z</dcterms:created>
  <dcterms:modified xsi:type="dcterms:W3CDTF">2026-02-20T00:12:40Z</dcterms:modified>
</cp:coreProperties>
</file>